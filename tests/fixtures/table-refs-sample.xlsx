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eroa\AppData\Local\Temp\claude\C--WINDOWS-System32-WindowsPowerShell-v1-0\724980bf-bf5e-4112-8110-90c2ad7ecebc\scratchpad\"/>
    </mc:Choice>
  </mc:AlternateContent>
  <xr:revisionPtr revIDLastSave="0" documentId="8_{78740364-DE9D-4662-8BA8-F17960E64924}" xr6:coauthVersionLast="47" xr6:coauthVersionMax="47" xr10:uidLastSave="{00000000-0000-0000-0000-000000000000}"/>
  <bookViews>
    <workbookView xWindow="15" yWindow="15" windowWidth="21585" windowHeight="11415" activeTab="1" xr2:uid="{29FC068A-240C-453D-9D7F-6DCC68490519}"/>
  </bookViews>
  <sheets>
    <sheet name="元表" sheetId="1" r:id="rId1"/>
    <sheet name="別シート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2" i="2" l="1"/>
  <c r="A1" i="2"/>
  <c r="H10" i="1"/>
  <c r="H8" i="1"/>
  <c r="H7" i="1"/>
  <c r="H4" i="1"/>
  <c r="H3" i="1"/>
  <c r="H2" i="1"/>
  <c r="H1" i="1"/>
  <c r="F7" i="1"/>
  <c r="F6" i="1"/>
  <c r="F5" i="1"/>
  <c r="F4" i="1"/>
  <c r="F3" i="1"/>
  <c r="D8" i="1"/>
  <c r="C8" i="1"/>
  <c r="H9" i="1" l="1"/>
  <c r="F8" i="1"/>
  <c r="H5" i="1" s="1"/>
  <c r="H6" i="1" l="1"/>
  <c r="A3" i="2"/>
</calcChain>
</file>

<file path=xl/sharedStrings.xml><?xml version="1.0" encoding="utf-8"?>
<sst xmlns="http://schemas.openxmlformats.org/spreadsheetml/2006/main" count="12" uniqueCount="12">
  <si>
    <t>日付</t>
  </si>
  <si>
    <t>名前</t>
  </si>
  <si>
    <t>金額</t>
  </si>
  <si>
    <t>時間</t>
  </si>
  <si>
    <t xml:space="preserve">単価 </t>
  </si>
  <si>
    <t>あ</t>
  </si>
  <si>
    <t>い</t>
  </si>
  <si>
    <t>う</t>
  </si>
  <si>
    <t>え</t>
  </si>
  <si>
    <t>お</t>
  </si>
  <si>
    <t>倍</t>
  </si>
  <si>
    <t>集計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</si>
</sst>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838BE4-6CCD-47B2-A0CE-AB1EFF5B9DD8}" name="売上T" displayName="売上T" ref="A2:F8" totalsRowCount="1">
  <autoFilter ref="A2:F7" xr:uid="{64838BE4-6CCD-47B2-A0CE-AB1EFF5B9DD8}"/>
  <tableColumns count="6">
    <tableColumn id="1" xr3:uid="{F009B76C-C4CB-432F-BB5E-728FBC839E42}" name="日付" totalsRowLabel="集計"/>
    <tableColumn id="2" xr3:uid="{1F996E21-FC96-4BEA-B0A6-E481FF5857DB}" name="名前"/>
    <tableColumn id="3" xr3:uid="{E71C670C-B666-4B14-826F-7E4A09177F79}" name="金額" totalsRowFunction="sum"/>
    <tableColumn id="4" xr3:uid="{1EA8BF5B-6E4C-4C5C-B67B-FBAB58AFF428}" name="時間" totalsRowFunction="sum"/>
    <tableColumn id="5" xr3:uid="{716ED678-6615-499F-A78D-5CA16B8086E5}" name="単価 "/>
    <tableColumn id="6" xr3:uid="{7E8D2822-76ED-44CD-B89B-8E02E80E25FF}" name="倍" totalsRowFunction="count" dataDxfId="0">
      <calculatedColumnFormula>売上T[[#This Row],[金額]]*2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D3F60-1D45-4CE4-BCB6-C6C13FBF05CC}">
  <dimension ref="A1:H10"/>
  <sheetViews>
    <sheetView workbookViewId="0"/>
  </sheetViews>
  <sheetFormatPr defaultRowHeight="17.649999999999999" x14ac:dyDescent="0.7"/>
  <sheetData>
    <row r="1" spans="1:8" x14ac:dyDescent="0.7">
      <c r="H1">
        <f>SUM(売上T[金額])</f>
        <v>15000</v>
      </c>
    </row>
    <row r="2" spans="1:8" x14ac:dyDescent="0.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10</v>
      </c>
      <c r="H2">
        <f>INDEX(売上T[金額], MATCH("う", 売上T[名前], 0))</f>
        <v>3000</v>
      </c>
    </row>
    <row r="3" spans="1:8" x14ac:dyDescent="0.7">
      <c r="A3">
        <v>45658</v>
      </c>
      <c r="B3" t="s">
        <v>5</v>
      </c>
      <c r="C3">
        <v>1000</v>
      </c>
      <c r="D3">
        <v>2</v>
      </c>
      <c r="E3">
        <v>500</v>
      </c>
      <c r="F3">
        <f>売上T[[#This Row],[金額]]*2</f>
        <v>2000</v>
      </c>
      <c r="H3">
        <f>SUM(売上T[[金額]:[時間]])</f>
        <v>15015</v>
      </c>
    </row>
    <row r="4" spans="1:8" x14ac:dyDescent="0.7">
      <c r="A4">
        <v>45659</v>
      </c>
      <c r="B4" t="s">
        <v>6</v>
      </c>
      <c r="C4">
        <v>2000</v>
      </c>
      <c r="D4">
        <v>3</v>
      </c>
      <c r="E4">
        <v>700</v>
      </c>
      <c r="F4">
        <f>売上T[[#This Row],[金額]]*2</f>
        <v>4000</v>
      </c>
      <c r="H4">
        <f>COUNTA(売上T[#Headers])</f>
        <v>6</v>
      </c>
    </row>
    <row r="5" spans="1:8" x14ac:dyDescent="0.7">
      <c r="A5">
        <v>45660</v>
      </c>
      <c r="B5" t="s">
        <v>7</v>
      </c>
      <c r="C5">
        <v>3000</v>
      </c>
      <c r="D5">
        <v>1</v>
      </c>
      <c r="E5">
        <v>900</v>
      </c>
      <c r="F5">
        <f>売上T[[#This Row],[金額]]*2</f>
        <v>6000</v>
      </c>
      <c r="H5">
        <f>SUM(売上T[#Totals])</f>
        <v>15020</v>
      </c>
    </row>
    <row r="6" spans="1:8" x14ac:dyDescent="0.7">
      <c r="A6">
        <v>45661</v>
      </c>
      <c r="B6" t="s">
        <v>8</v>
      </c>
      <c r="C6">
        <v>4000</v>
      </c>
      <c r="D6">
        <v>5</v>
      </c>
      <c r="E6">
        <v>1100</v>
      </c>
      <c r="F6">
        <f>売上T[[#This Row],[金額]]*2</f>
        <v>8000</v>
      </c>
      <c r="H6">
        <f>COUNTA(売上T[#All])</f>
        <v>40</v>
      </c>
    </row>
    <row r="7" spans="1:8" x14ac:dyDescent="0.7">
      <c r="A7">
        <v>45662</v>
      </c>
      <c r="B7" t="s">
        <v>9</v>
      </c>
      <c r="C7">
        <v>5000</v>
      </c>
      <c r="D7">
        <v>4</v>
      </c>
      <c r="E7">
        <v>1300</v>
      </c>
      <c r="F7">
        <f>売上T[[#This Row],[金額]]*2</f>
        <v>10000</v>
      </c>
      <c r="H7">
        <f>SUM(売上T[[#Data],[金額]])</f>
        <v>15000</v>
      </c>
    </row>
    <row r="8" spans="1:8" x14ac:dyDescent="0.7">
      <c r="A8" t="s">
        <v>11</v>
      </c>
      <c r="C8">
        <f>SUBTOTAL(109,売上T[金額])</f>
        <v>15000</v>
      </c>
      <c r="D8">
        <f>SUBTOTAL(109,売上T[時間])</f>
        <v>15</v>
      </c>
      <c r="F8">
        <f>SUBTOTAL(103,売上T[倍])</f>
        <v>5</v>
      </c>
      <c r="H8">
        <f>SUM(売上T[[単価 ]])</f>
        <v>4500</v>
      </c>
    </row>
    <row r="9" spans="1:8" x14ac:dyDescent="0.7">
      <c r="H9">
        <f>COUNTA(売上T[[#Headers],[#Data]])</f>
        <v>36</v>
      </c>
    </row>
    <row r="10" spans="1:8" x14ac:dyDescent="0.7">
      <c r="H10">
        <f>SUM(売上T[金額])-SUM(売上T[時間])</f>
        <v>14985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CC95F-C5DF-4DF3-8A83-B2C426520C6B}">
  <dimension ref="A1:A3"/>
  <sheetViews>
    <sheetView tabSelected="1" workbookViewId="0"/>
  </sheetViews>
  <sheetFormatPr defaultRowHeight="17.649999999999999" x14ac:dyDescent="0.7"/>
  <sheetData>
    <row r="1" spans="1:1" x14ac:dyDescent="0.7">
      <c r="A1">
        <f>SUM(売上T[金額])</f>
        <v>15000</v>
      </c>
    </row>
    <row r="2" spans="1:1" x14ac:dyDescent="0.7">
      <c r="A2">
        <f>INDEX(売上T[[単価 ]], MATCH("え", 売上T[名前], 0))</f>
        <v>1100</v>
      </c>
    </row>
    <row r="3" spans="1:1" x14ac:dyDescent="0.7">
      <c r="A3">
        <f>COUNTA(売上T[#All])</f>
        <v>40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元表</vt:lpstr>
      <vt:lpstr>別シート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司 矢野</dc:creator>
  <cp:lastModifiedBy>司 矢野</cp:lastModifiedBy>
  <dcterms:created xsi:type="dcterms:W3CDTF">2026-08-17T15:29:05Z</dcterms:created>
  <dcterms:modified xsi:type="dcterms:W3CDTF">2026-08-17T15:29:06Z</dcterms:modified>
</cp:coreProperties>
</file>